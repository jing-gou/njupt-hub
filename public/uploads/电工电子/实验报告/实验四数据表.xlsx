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<sst xmlns="http://schemas.openxmlformats.org/spreadsheetml/2006/main" count="32" uniqueCount="25">
  <si>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f/khz</t>
  </si>
  <si>
    <t>f1</t>
  </si>
  <si>
    <t>f0</t>
  </si>
  <si>
    <t>f2</t>
  </si>
  <si>
    <t>UR/mV</t>
  </si>
  <si>
    <t>I/mA</t>
  </si>
  <si>
    <t>谐振频率理论值</t>
  </si>
  <si>
    <t>9.81Khz</t>
  </si>
  <si>
    <t>品质因数Q理论值</t>
  </si>
  <si>
    <t>谐振频率实验值</t>
  </si>
  <si>
    <t>10.46KHz</t>
  </si>
  <si>
    <t>10.38KHz/320.5mV</t>
  </si>
  <si>
    <t>半功率点1</t>
  </si>
  <si>
    <t>8.35Khz</t>
  </si>
  <si>
    <t>8.27Khz/226.0mV</t>
  </si>
  <si>
    <t>半功率点2</t>
  </si>
  <si>
    <t>13.39Khz</t>
  </si>
  <si>
    <t>13.27Khz/225.9mV</t>
  </si>
  <si>
    <t>谐振频率电容电压</t>
  </si>
  <si>
    <t>1.047v</t>
  </si>
  <si>
    <t>谐振频率电感电压</t>
  </si>
  <si>
    <t>1.082v</t>
  </si>
  <si>
    <t>品质因数Q实验值（电压）</t>
  </si>
  <si>
    <t>品质因数Q实验值（通频带）</t>
  </si>
  <si>
    <t>5Khz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</si>
</sst>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Sheet1!$A$2</c:f>
              <c:strCache>
                <c:ptCount val="1"/>
                <c:pt idx="0">
                  <c:v>UR/mV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Sheet1!$A$1:$P$1</c:f>
              <c:strCache>
                <c:ptCount val="16"/>
                <c:pt idx="0">
                  <c:v>f/khz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f1</c:v>
                </c:pt>
                <c:pt idx="6">
                  <c:v>9</c:v>
                </c:pt>
                <c:pt idx="7">
                  <c:v>f0</c:v>
                </c:pt>
                <c:pt idx="8">
                  <c:v>11</c:v>
                </c:pt>
                <c:pt idx="9">
                  <c:v>12</c:v>
                </c:pt>
                <c:pt idx="10">
                  <c:v>f2</c:v>
                </c:pt>
                <c:pt idx="11">
                  <c:v>15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</c:strCache>
            </c:strRef>
          </c:cat>
          <c:val>
            <c:numRef>
              <c:f>Sheet1!$B$2:$P$2</c:f>
              <c:numCache>
                <c:formatCode>General</c:formatCode>
                <c:ptCount val="15"/>
                <c:pt idx="0">
                  <c:v>14.31</c:v>
                </c:pt>
                <c:pt idx="1">
                  <c:v>29.23</c:v>
                </c:pt>
                <c:pt idx="2">
                  <c:v>65.02</c:v>
                </c:pt>
                <c:pt idx="3">
                  <c:v>118.69</c:v>
                </c:pt>
                <c:pt idx="4">
                  <c:v>234.14</c:v>
                </c:pt>
                <c:pt idx="5">
                  <c:v>274.64</c:v>
                </c:pt>
                <c:pt idx="6">
                  <c:v>318.57</c:v>
                </c:pt>
                <c:pt idx="7">
                  <c:v>308.76</c:v>
                </c:pt>
                <c:pt idx="8">
                  <c:v>272.22</c:v>
                </c:pt>
                <c:pt idx="9">
                  <c:v>219.39</c:v>
                </c:pt>
                <c:pt idx="10">
                  <c:v>174.88</c:v>
                </c:pt>
                <c:pt idx="11">
                  <c:v>106.44</c:v>
                </c:pt>
                <c:pt idx="12">
                  <c:v>61.7</c:v>
                </c:pt>
                <c:pt idx="13">
                  <c:v>34.76</c:v>
                </c:pt>
                <c:pt idx="14">
                  <c:v>16.82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7778384"/>
        <c:axId val="743593988"/>
      </c:lineChart>
      <c:catAx>
        <c:axId val="36777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3593988"/>
        <c:crosses val="autoZero"/>
        <c:auto val="1"/>
        <c:lblAlgn val="ctr"/>
        <c:lblOffset val="100"/>
        <c:noMultiLvlLbl val="0"/>
      </c:catAx>
      <c:valAx>
        <c:axId val="743593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7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527050</xdr:colOff>
      <xdr:row>12</xdr:row>
      <xdr:rowOff>101600</xdr:rowOff>
    </xdr:from>
    <xdr:to>
      <xdr:col>15</xdr:col>
      <xdr:colOff>476250</xdr:colOff>
      <xdr:row>28</xdr:row>
      <xdr:rowOff>0</xdr:rowOff>
    </xdr:to>
    <xdr:graphicFrame>
      <xdr:nvGraphicFramePr>
        <xdr:cNvPr id="2" name="图表 1"/>
        <xdr:cNvGraphicFramePr/>
      </xdr:nvGraphicFramePr>
      <xdr:xfrm>
        <a:off x="5321300" y="223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workbookViewId="0">
      <selection activeCell="K9" sqref="K9"/>
    </sheetView>
  </sheetViews>
  <sheetFormatPr defaultColWidth="8.72727272727273" defaultRowHeight="14"/>
  <cols>
    <col min="1" max="1" width="16.2727272727273" customWidth="1"/>
  </cols>
  <sheetData>
    <row r="1" spans="1:16">
      <c r="A1" t="s">
        <v>0</v>
      </c>
      <c r="B1">
        <v>1</v>
      </c>
      <c r="C1">
        <v>2</v>
      </c>
      <c r="D1">
        <v>4</v>
      </c>
      <c r="E1">
        <v>6</v>
      </c>
      <c r="F1" t="s">
        <v>1</v>
      </c>
      <c r="G1">
        <v>9</v>
      </c>
      <c r="H1" t="s">
        <v>2</v>
      </c>
      <c r="I1">
        <v>11</v>
      </c>
      <c r="J1">
        <v>12</v>
      </c>
      <c r="K1" t="s">
        <v>3</v>
      </c>
      <c r="L1">
        <v>15</v>
      </c>
      <c r="M1">
        <v>20</v>
      </c>
      <c r="N1">
        <v>30</v>
      </c>
      <c r="O1">
        <v>50</v>
      </c>
      <c r="P1">
        <v>100</v>
      </c>
    </row>
    <row r="2" spans="1:16">
      <c r="A2" t="s">
        <v>4</v>
      </c>
      <c r="B2">
        <v>14.31</v>
      </c>
      <c r="C2">
        <v>29.23</v>
      </c>
      <c r="D2">
        <v>65.02</v>
      </c>
      <c r="E2">
        <v>118.69</v>
      </c>
      <c r="F2">
        <v>234.14</v>
      </c>
      <c r="G2">
        <v>274.64</v>
      </c>
      <c r="H2">
        <v>318.57</v>
      </c>
      <c r="I2">
        <v>308.76</v>
      </c>
      <c r="J2">
        <v>272.22</v>
      </c>
      <c r="K2">
        <v>219.39</v>
      </c>
      <c r="L2">
        <v>174.88</v>
      </c>
      <c r="M2">
        <v>106.44</v>
      </c>
      <c r="N2">
        <v>61.7</v>
      </c>
      <c r="O2">
        <v>34.76</v>
      </c>
      <c r="P2">
        <v>16.82</v>
      </c>
    </row>
    <row r="3" spans="1:16">
      <c r="A3" t="s">
        <v>5</v>
      </c>
      <c r="B3">
        <v>0.1431</v>
      </c>
      <c r="C3">
        <v>0.2923</v>
      </c>
      <c r="D3">
        <v>0.6502</v>
      </c>
      <c r="E3">
        <v>1.1869</v>
      </c>
      <c r="F3">
        <v>2.3414</v>
      </c>
      <c r="G3">
        <v>2.7464</v>
      </c>
      <c r="H3">
        <v>3.1857</v>
      </c>
      <c r="I3">
        <v>3.0876</v>
      </c>
      <c r="J3">
        <v>2.7222</v>
      </c>
      <c r="K3">
        <v>2.1939</v>
      </c>
      <c r="L3">
        <v>1.7488</v>
      </c>
      <c r="M3">
        <v>1.0644</v>
      </c>
      <c r="N3">
        <v>0.617</v>
      </c>
      <c r="O3">
        <v>0.3476</v>
      </c>
      <c r="P3">
        <v>0.1682</v>
      </c>
    </row>
    <row r="5" spans="1:3">
      <c r="A5" t="s">
        <v>6</v>
      </c>
      <c r="C5" t="s">
        <v>7</v>
      </c>
    </row>
    <row r="6" spans="1:3">
      <c r="A6" t="s">
        <v>8</v>
      </c>
      <c r="C6">
        <v>1.89</v>
      </c>
    </row>
    <row r="7" spans="1:4">
      <c r="A7" t="s">
        <v>9</v>
      </c>
      <c r="C7" t="s">
        <v>10</v>
      </c>
      <c r="D7" t="s">
        <v>11</v>
      </c>
    </row>
    <row r="8" spans="1:4">
      <c r="A8" t="s">
        <v>12</v>
      </c>
      <c r="C8" t="s">
        <v>13</v>
      </c>
      <c r="D8" t="s">
        <v>14</v>
      </c>
    </row>
    <row r="9" spans="1:4">
      <c r="A9" t="s">
        <v>15</v>
      </c>
      <c r="C9" t="s">
        <v>16</v>
      </c>
      <c r="D9" t="s">
        <v>17</v>
      </c>
    </row>
    <row r="10" spans="1:3">
      <c r="A10" t="s">
        <v>18</v>
      </c>
      <c r="C10" t="s">
        <v>19</v>
      </c>
    </row>
    <row r="11" spans="1:3">
      <c r="A11" t="s">
        <v>20</v>
      </c>
      <c r="C11" t="s">
        <v>21</v>
      </c>
    </row>
    <row r="12" spans="1:5">
      <c r="A12" t="s">
        <v>22</v>
      </c>
      <c r="C12">
        <v>2.094</v>
      </c>
      <c r="D12">
        <v>2.164</v>
      </c>
      <c r="E12">
        <f>AVERAGE(C12:D12)</f>
        <v>2.129</v>
      </c>
    </row>
    <row r="13" spans="1:5">
      <c r="A13" t="s">
        <v>23</v>
      </c>
      <c r="C13" t="s">
        <v>10</v>
      </c>
      <c r="D13" t="s">
        <v>24</v>
      </c>
      <c r="E13">
        <v>2.092</v>
      </c>
    </row>
    <row r="15" spans="1:3">
      <c r="A15" t="s">
        <v>0</v>
      </c>
      <c r="B15" t="s">
        <v>4</v>
      </c>
      <c r="C15" t="s">
        <v>5</v>
      </c>
    </row>
    <row r="16" spans="1:3">
      <c r="A16">
        <v>1</v>
      </c>
      <c r="B16">
        <v>14.31</v>
      </c>
      <c r="C16">
        <v>0.1431</v>
      </c>
    </row>
    <row r="17" spans="1:3">
      <c r="A17">
        <v>2</v>
      </c>
      <c r="B17">
        <v>29.23</v>
      </c>
      <c r="C17">
        <v>0.2923</v>
      </c>
    </row>
    <row r="18" spans="1:3">
      <c r="A18">
        <v>4</v>
      </c>
      <c r="B18">
        <v>65.02</v>
      </c>
      <c r="C18">
        <v>0.6502</v>
      </c>
    </row>
    <row r="19" spans="1:3">
      <c r="A19">
        <v>6</v>
      </c>
      <c r="B19">
        <v>118.69</v>
      </c>
      <c r="C19">
        <v>1.1869</v>
      </c>
    </row>
    <row r="20" spans="1:3">
      <c r="A20" t="s">
        <v>1</v>
      </c>
      <c r="B20">
        <v>234.14</v>
      </c>
      <c r="C20">
        <v>2.3414</v>
      </c>
    </row>
    <row r="21" spans="1:3">
      <c r="A21">
        <v>9</v>
      </c>
      <c r="B21">
        <v>274.64</v>
      </c>
      <c r="C21">
        <v>2.7464</v>
      </c>
    </row>
    <row r="22" spans="1:3">
      <c r="A22" t="s">
        <v>2</v>
      </c>
      <c r="B22">
        <v>318.57</v>
      </c>
      <c r="C22">
        <v>3.1857</v>
      </c>
    </row>
    <row r="23" spans="1:3">
      <c r="A23">
        <v>11</v>
      </c>
      <c r="B23">
        <v>308.76</v>
      </c>
      <c r="C23">
        <v>3.0876</v>
      </c>
    </row>
    <row r="24" spans="1:3">
      <c r="A24">
        <v>12</v>
      </c>
      <c r="B24">
        <v>272.22</v>
      </c>
      <c r="C24">
        <v>2.7222</v>
      </c>
    </row>
    <row r="25" spans="1:3">
      <c r="A25" t="s">
        <v>3</v>
      </c>
      <c r="B25">
        <v>219.39</v>
      </c>
      <c r="C25">
        <v>2.1939</v>
      </c>
    </row>
    <row r="26" spans="1:3">
      <c r="A26">
        <v>15</v>
      </c>
      <c r="B26">
        <v>174.88</v>
      </c>
      <c r="C26">
        <v>1.7488</v>
      </c>
    </row>
    <row r="27" spans="1:3">
      <c r="A27">
        <v>20</v>
      </c>
      <c r="B27">
        <v>106.44</v>
      </c>
      <c r="C27">
        <v>1.0644</v>
      </c>
    </row>
    <row r="28" spans="1:3">
      <c r="A28">
        <v>30</v>
      </c>
      <c r="B28">
        <v>61.7</v>
      </c>
      <c r="C28">
        <v>0.617</v>
      </c>
    </row>
    <row r="29" spans="1:3">
      <c r="A29">
        <v>50</v>
      </c>
      <c r="B29">
        <v>34.76</v>
      </c>
      <c r="C29">
        <v>0.3476</v>
      </c>
    </row>
    <row r="30" spans="1:3">
      <c r="A30">
        <v>100</v>
      </c>
      <c r="B30">
        <v>16.82</v>
      </c>
      <c r="C30">
        <v>0.1682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2025-11-04T00:58:00Z</dcterms:created>
  <dcterms:modified xsi:type="dcterms:W3CDTF">2025-11-08T16:05:00Z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335B611870FE46F487E81DE112F775E5_11</vt:lpwstr>
  </property>
  <property fmtid="{D5CDD505-2E9C-101B-9397-08002B2CF9AE}" pid="3" name="KSOProductBuildVer">
    <vt:lpwstr>2052-12.1.0.20784</vt:lpwstr>
  </property>
</Properties>
</file>